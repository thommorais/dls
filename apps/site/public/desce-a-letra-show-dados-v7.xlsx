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s &amp; Quirks do Show" sheetId="1" state="visible" r:id="rId1"/>
    <sheet xmlns:r="http://schemas.openxmlformats.org/officeDocument/2006/relationships" name="Aberturas dos Ouvintes" sheetId="2" state="visible" r:id="rId2"/>
    <sheet xmlns:r="http://schemas.openxmlformats.org/officeDocument/2006/relationships" name="Cantorias do DLShow" sheetId="3" state="visible" r:id="rId3"/>
    <sheet xmlns:r="http://schemas.openxmlformats.org/officeDocument/2006/relationships" name="Comidas &amp; Bebidas" sheetId="4" state="visible" r:id="rId4"/>
    <sheet xmlns:r="http://schemas.openxmlformats.org/officeDocument/2006/relationships" name="Presentes &amp; Mimos" sheetId="5" state="visible" r:id="rId5"/>
    <sheet xmlns:r="http://schemas.openxmlformats.org/officeDocument/2006/relationships" name="Menções Craque Neto &amp; P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36" customWidth="1" min="4" max="4"/>
    <col width="40" customWidth="1" min="5" max="5"/>
    <col width="40" customWidth="1" min="6" max="6"/>
    <col width="111" customWidth="1" min="7" max="7"/>
  </cols>
  <sheetData>
    <row r="1" ht="26" customHeight="1">
      <c r="A1" s="1" t="inlineStr">
        <is>
          <t>Episódio</t>
        </is>
      </c>
      <c r="B1" s="1" t="inlineStr">
        <is>
          <t>Minutagem</t>
        </is>
      </c>
      <c r="C1" s="1" t="inlineStr">
        <is>
          <t>Link do Vídeo (YouTube)</t>
        </is>
      </c>
      <c r="D1" s="1" t="inlineStr">
        <is>
          <t>Categoria / Meme</t>
        </is>
      </c>
      <c r="E1" s="1" t="inlineStr">
        <is>
          <t>Envolvidos</t>
        </is>
      </c>
      <c r="F1" s="1" t="inlineStr">
        <is>
          <t>Descrição / Ocorridos</t>
        </is>
      </c>
      <c r="G1" s="1" t="inlineStr">
        <is>
          <t>Detalhes / Contexto</t>
        </is>
      </c>
    </row>
    <row r="2" ht="24" customHeight="1">
      <c r="A2" s="2" t="inlineStr">
        <is>
          <t>DLSHOW 648</t>
        </is>
      </c>
      <c r="B2" s="2" t="inlineStr">
        <is>
          <t>00:00:15</t>
        </is>
      </c>
      <c r="C2" s="3">
        <f>HYPERLINK("https://www.youtube.com/watch?v=Vme7qk9NECM&amp;t=15s", "▶ Assistir no YouTube (00:00:15)")</f>
        <v/>
      </c>
      <c r="D2" s="4" t="inlineStr">
        <is>
          <t>Bulbasauro Intervention</t>
        </is>
      </c>
      <c r="E2" s="4" t="inlineStr">
        <is>
          <t>Bulbasauro &amp; Load</t>
        </is>
      </c>
      <c r="F2" s="4" t="inlineStr">
        <is>
          <t>Problema no cabo XLR do Load</t>
        </is>
      </c>
      <c r="G2" s="4" t="inlineStr">
        <is>
          <t>Buba ajeita o microfone do Load ao vivo e avisa que comprou 30m de cabo novo.</t>
        </is>
      </c>
    </row>
    <row r="3" ht="24" customHeight="1">
      <c r="A3" s="5" t="inlineStr">
        <is>
          <t>DLSHOW 648</t>
        </is>
      </c>
      <c r="B3" s="5" t="inlineStr">
        <is>
          <t>00:01:30</t>
        </is>
      </c>
      <c r="C3" s="6">
        <f>HYPERLINK("https://www.youtube.com/watch?v=Vme7qk9NECM&amp;t=90s", "▶ Assistir no YouTube (00:01:30)")</f>
        <v/>
      </c>
      <c r="D3" s="7" t="inlineStr">
        <is>
          <t>Cauê Late &amp; Sono</t>
        </is>
      </c>
      <c r="E3" s="7" t="inlineStr">
        <is>
          <t>Cauê Moura</t>
        </is>
      </c>
      <c r="F3" s="7" t="inlineStr">
        <is>
          <t>Relato de insônia e cansaço ao vivo</t>
        </is>
      </c>
      <c r="G3" s="7" t="inlineStr">
        <is>
          <t>Cauê conta que dormiu às 22:30, acordou 01:30 e depois dormiu até 07:45, chegando estafado.</t>
        </is>
      </c>
    </row>
    <row r="4" ht="24" customHeight="1">
      <c r="A4" s="2" t="inlineStr">
        <is>
          <t>DLSHOW 648</t>
        </is>
      </c>
      <c r="B4" s="2" t="inlineStr">
        <is>
          <t>00:15:10</t>
        </is>
      </c>
      <c r="C4" s="3">
        <f>HYPERLINK("https://www.youtube.com/watch?v=Vme7qk9NECM&amp;t=910s", "▶ Assistir no YouTube (00:15:10)")</f>
        <v/>
      </c>
      <c r="D4" s="4" t="inlineStr">
        <is>
          <t>Bulbasauro Intervention</t>
        </is>
      </c>
      <c r="E4" s="4" t="inlineStr">
        <is>
          <t>Bulbasauro &amp; Cauê</t>
        </is>
      </c>
      <c r="F4" s="4" t="inlineStr">
        <is>
          <t>Ajuste de volume de retorno ao vivo</t>
        </is>
      </c>
      <c r="G4" s="4" t="inlineStr">
        <is>
          <t>Cauê pede pro Buba abaixar o áudio de retorno porque o microfone do Load estava estourando.</t>
        </is>
      </c>
    </row>
    <row r="5" ht="24" customHeight="1">
      <c r="A5" s="5" t="inlineStr">
        <is>
          <t>DLSHOW 648</t>
        </is>
      </c>
      <c r="B5" s="5" t="inlineStr">
        <is>
          <t>00:21:00</t>
        </is>
      </c>
      <c r="C5" s="6">
        <f>HYPERLINK("https://www.youtube.com/watch?v=Vme7qk9NECM&amp;t=1260s", "▶ Assistir no YouTube (00:21:00)")</f>
        <v/>
      </c>
      <c r="D5" s="7" t="inlineStr">
        <is>
          <t>Bulbasauro Intervention (Bip)</t>
        </is>
      </c>
      <c r="E5" s="7" t="inlineStr">
        <is>
          <t>Bulbasauro &amp; Cauê</t>
        </is>
      </c>
      <c r="F5" s="7" t="inlineStr">
        <is>
          <t>Bip de censura durante rants</t>
        </is>
      </c>
      <c r="G5" s="7" t="inlineStr">
        <is>
          <t>Cauê pede abertamente: 'Solta o bip aí pra mim Buba' ao falar de figuras políticas/famosos.</t>
        </is>
      </c>
    </row>
    <row r="6" ht="24" customHeight="1">
      <c r="A6" s="2" t="inlineStr">
        <is>
          <t>DLSHOW 648</t>
        </is>
      </c>
      <c r="B6" s="2" t="inlineStr">
        <is>
          <t>00:33:00</t>
        </is>
      </c>
      <c r="C6" s="3">
        <f>HYPERLINK("https://www.youtube.com/watch?v=Vme7qk9NECM&amp;t=1980s", "▶ Assistir no YouTube (00:33:00)")</f>
        <v/>
      </c>
      <c r="D6" s="4" t="inlineStr">
        <is>
          <t>Perguntas pra Ana / Ciência</t>
        </is>
      </c>
      <c r="E6" s="4" t="inlineStr">
        <is>
          <t>Cauê Moura &amp; Load</t>
        </is>
      </c>
      <c r="F6" s="4" t="inlineStr">
        <is>
          <t>Fungos, Microbioma e Frutas Picadas</t>
        </is>
      </c>
      <c r="G6" s="4" t="inlineStr">
        <is>
          <t>Debate científico sobre bolor em alimentos, microbiota intestinal e o cofre mundial de sementes da Noruega.</t>
        </is>
      </c>
    </row>
    <row r="7" ht="24" customHeight="1">
      <c r="A7" s="5" t="inlineStr">
        <is>
          <t>DLSHOW 648</t>
        </is>
      </c>
      <c r="B7" s="5" t="inlineStr">
        <is>
          <t>01:18:00</t>
        </is>
      </c>
      <c r="C7" s="6">
        <f>HYPERLINK("https://www.youtube.com/watch?v=Vme7qk9NECM&amp;t=4680s", "▶ Assistir no YouTube (01:18:00)")</f>
        <v/>
      </c>
      <c r="D7" s="7" t="inlineStr">
        <is>
          <t>Gesto do Load ('Mamou Fantasma')</t>
        </is>
      </c>
      <c r="E7" s="7" t="inlineStr">
        <is>
          <t>Load Comics &amp; Cauê</t>
        </is>
      </c>
      <c r="F7" s="7" t="inlineStr">
        <is>
          <t>Brincadeira de mamar o microfone</t>
        </is>
      </c>
      <c r="G7" s="7" t="inlineStr">
        <is>
          <t>Load faz o famoso gesto de 'pagar uma gulosa' no microfone e Cauê brinca com a cena na câmera.</t>
        </is>
      </c>
    </row>
    <row r="8" ht="24" customHeight="1">
      <c r="A8" s="2" t="inlineStr">
        <is>
          <t>DLSHOW 637</t>
        </is>
      </c>
      <c r="B8" s="2" t="inlineStr">
        <is>
          <t>00:00:00</t>
        </is>
      </c>
      <c r="C8" s="3">
        <f>HYPERLINK("https://www.youtube.com/watch?v=jr4HNj9k8Nw", "▶ Assistir no YouTube (00:00:00)")</f>
        <v/>
      </c>
      <c r="D8" s="4" t="inlineStr">
        <is>
          <t>Bulbasauro Intervention</t>
        </is>
      </c>
      <c r="E8" s="4" t="inlineStr">
        <is>
          <t>Bulbasauro &amp; Bancada</t>
        </is>
      </c>
      <c r="F8" s="4" t="inlineStr">
        <is>
          <t>Impressora 3D ao vivo no estúdio</t>
        </is>
      </c>
      <c r="G8" s="4" t="inlineStr">
        <is>
          <t>Buba coloca a impressora 3D para rodar ao vivo imprimindo mimos vermelhos para membros.</t>
        </is>
      </c>
    </row>
    <row r="9" ht="24" customHeight="1">
      <c r="A9" s="5" t="inlineStr">
        <is>
          <t>DLSHOW 635</t>
        </is>
      </c>
      <c r="B9" s="5" t="inlineStr">
        <is>
          <t>00:01:11</t>
        </is>
      </c>
      <c r="C9" s="6">
        <f>HYPERLINK("https://www.youtube.com/watch?v=wvf_rHDNHdk&amp;t=71s", "▶ Assistir no YouTube (00:01:11)")</f>
        <v/>
      </c>
      <c r="D9" s="7" t="inlineStr">
        <is>
          <t>Cauê Rant / Gultural</t>
        </is>
      </c>
      <c r="E9" s="7" t="inlineStr">
        <is>
          <t>Cauê Moura</t>
        </is>
      </c>
      <c r="F9" s="7" t="inlineStr">
        <is>
          <t>Grito gutural ao vivo</t>
        </is>
      </c>
      <c r="G9" s="7" t="inlineStr">
        <is>
          <t>Cauê manda um vocal estilo death metal assustando a audiência com fone isolado.</t>
        </is>
      </c>
    </row>
    <row r="10" ht="24" customHeight="1">
      <c r="A10" s="2" t="inlineStr">
        <is>
          <t>DLSHOW 628</t>
        </is>
      </c>
      <c r="B10" s="2" t="inlineStr">
        <is>
          <t>00:00:10</t>
        </is>
      </c>
      <c r="C10" s="3">
        <f>HYPERLINK("https://www.youtube.com/watch?v=sIOnDXwttW4&amp;t=10s", "▶ Assistir no YouTube (00:00:10)")</f>
        <v/>
      </c>
      <c r="D10" s="4" t="inlineStr">
        <is>
          <t>Gags visuais do Bala</t>
        </is>
      </c>
      <c r="E10" s="4" t="inlineStr">
        <is>
          <t>Balla &amp; Bancada</t>
        </is>
      </c>
      <c r="F10" s="4" t="inlineStr">
        <is>
          <t>Animação da vinheta da spraycan</t>
        </is>
      </c>
      <c r="G10" s="4" t="inlineStr">
        <is>
          <t>Balla altera a arte da spraycan do Cauê e Load lançando fumaça e efeitos especiais na tela.</t>
        </is>
      </c>
    </row>
    <row r="11" ht="24" customHeight="1">
      <c r="A11" s="5" t="inlineStr">
        <is>
          <t>DLSHOW 627</t>
        </is>
      </c>
      <c r="B11" s="5" t="inlineStr">
        <is>
          <t>00:00:00</t>
        </is>
      </c>
      <c r="C11" s="6">
        <f>HYPERLINK("https://www.youtube.com/watch?v=M_Reb5WaIps", "▶ Assistir no YouTube (00:00:00)")</f>
        <v/>
      </c>
      <c r="D11" s="7" t="inlineStr">
        <is>
          <t>Gags da Poltrona / Cadeira</t>
        </is>
      </c>
      <c r="E11" s="7" t="inlineStr">
        <is>
          <t>Cauê, Load &amp; Gaiofato</t>
        </is>
      </c>
      <c r="F11" s="7" t="inlineStr">
        <is>
          <t>Gag recorrente da escada / poltrona</t>
        </is>
      </c>
      <c r="G11" s="7" t="inlineStr">
        <is>
          <t>Load senta numa escada/cadeira de baralho enquanto Cauê usa a poltrona oficial no teatro.</t>
        </is>
      </c>
    </row>
    <row r="12" ht="24" customHeight="1">
      <c r="A12" s="2" t="inlineStr">
        <is>
          <t>DLSHOW 626</t>
        </is>
      </c>
      <c r="B12" s="2" t="inlineStr">
        <is>
          <t>00:00:10</t>
        </is>
      </c>
      <c r="C12" s="3">
        <f>HYPERLINK("https://www.youtube.com/watch?v=27f7VEe7QVQ&amp;t=10s", "▶ Assistir no YouTube (00:00:10)")</f>
        <v/>
      </c>
      <c r="D12" s="4" t="inlineStr">
        <is>
          <t>Load Senta na Escada</t>
        </is>
      </c>
      <c r="E12" s="4" t="inlineStr">
        <is>
          <t>Load Comics</t>
        </is>
      </c>
      <c r="F12" s="4" t="inlineStr">
        <is>
          <t>Gag da poltrona sem braço/escada</t>
        </is>
      </c>
      <c r="G12" s="4" t="inlineStr">
        <is>
          <t>Load fica numa posição desconfortável no estúdio provocando piadas sobre sua coluna.</t>
        </is>
      </c>
    </row>
    <row r="13" ht="24" customHeight="1">
      <c r="A13" s="5" t="inlineStr">
        <is>
          <t>DLSHOW 625</t>
        </is>
      </c>
      <c r="B13" s="5" t="inlineStr">
        <is>
          <t>00:00:58</t>
        </is>
      </c>
      <c r="C13" s="6">
        <f>HYPERLINK("https://www.youtube.com/watch?v=mekYK_2RnA8&amp;t=58s", "▶ Assistir no YouTube (00:00:58)")</f>
        <v/>
      </c>
      <c r="D13" s="7" t="inlineStr">
        <is>
          <t>Load Senta na Cadeira Alta</t>
        </is>
      </c>
      <c r="E13" s="7" t="inlineStr">
        <is>
          <t>Load Comics &amp; Cauê</t>
        </is>
      </c>
      <c r="F13" s="7" t="inlineStr">
        <is>
          <t>Load em estado de 'barril'</t>
        </is>
      </c>
      <c r="G13" s="7" t="inlineStr">
        <is>
          <t>Load escolhe sentar numa cadeira alta estilo baralho e Cauê zoa que agora olha Load de cima.</t>
        </is>
      </c>
    </row>
    <row r="14" ht="24" customHeight="1">
      <c r="A14" s="2" t="inlineStr">
        <is>
          <t>DLSHOW 623</t>
        </is>
      </c>
      <c r="B14" s="2" t="inlineStr">
        <is>
          <t>00:00:00</t>
        </is>
      </c>
      <c r="C14" s="3">
        <f>HYPERLINK("https://www.youtube.com/watch?v=0wsdOI1RkWo", "▶ Assistir no YouTube (00:00:00)")</f>
        <v/>
      </c>
      <c r="D14" s="4" t="inlineStr">
        <is>
          <t>Buba &amp; Troca de Posição</t>
        </is>
      </c>
      <c r="E14" s="4" t="inlineStr">
        <is>
          <t>Cauê, Load &amp; Buba</t>
        </is>
      </c>
      <c r="F14" s="4" t="inlineStr">
        <is>
          <t>Inversão de câmeras e enquadramento</t>
        </is>
      </c>
      <c r="G14" s="4" t="inlineStr">
        <is>
          <t>Troca temporária da poltrona e enquadramento de frente para o Cauê.</t>
        </is>
      </c>
    </row>
    <row r="15" ht="24" customHeight="1">
      <c r="A15" s="5" t="inlineStr">
        <is>
          <t>DLSHOW 617</t>
        </is>
      </c>
      <c r="B15" s="5" t="inlineStr">
        <is>
          <t>00:16:10</t>
        </is>
      </c>
      <c r="C15" s="6">
        <f>HYPERLINK("https://www.youtube.com/watch?v=2Z_N3p-Z2aM&amp;t=970s", "▶ Assistir no YouTube (00:16:10)")</f>
        <v/>
      </c>
      <c r="D15" s="7" t="inlineStr">
        <is>
          <t>Cauê Late / Re-opening</t>
        </is>
      </c>
      <c r="E15" s="7" t="inlineStr">
        <is>
          <t>Cauê Moura &amp; Load</t>
        </is>
      </c>
      <c r="F15" s="7" t="inlineStr">
        <is>
          <t>Abertura de Novo (Restart de intro)</t>
        </is>
      </c>
      <c r="G15" s="7" t="inlineStr">
        <is>
          <t>Episódio teve duas aberturas gravadas no mesmo dia: [07:29] Abertura e [16:10] Abertura (de novo).</t>
        </is>
      </c>
    </row>
    <row r="16" ht="24" customHeight="1">
      <c r="A16" s="2" t="inlineStr">
        <is>
          <t>DLSHOW 616</t>
        </is>
      </c>
      <c r="B16" s="2" t="inlineStr">
        <is>
          <t>00:01:00</t>
        </is>
      </c>
      <c r="C16" s="3">
        <f>HYPERLINK("https://www.youtube.com/watch?v=GcrrPgDv1Dc&amp;t=60s", "▶ Assistir no YouTube (00:01:00)")</f>
        <v/>
      </c>
      <c r="D16" s="4" t="inlineStr">
        <is>
          <t>Bulbasauro nas Picape</t>
        </is>
      </c>
      <c r="E16" s="4" t="inlineStr">
        <is>
          <t>Bulbasauro</t>
        </is>
      </c>
      <c r="F16" s="4" t="inlineStr">
        <is>
          <t>Buba como 'Mito das Picaps'</t>
        </is>
      </c>
      <c r="G16" s="4" t="inlineStr">
        <is>
          <t>Buba dança e regula o mixer aumentando os efeitos sonoros de corneta e palmas.</t>
        </is>
      </c>
    </row>
    <row r="17" ht="24" customHeight="1">
      <c r="A17" s="5" t="inlineStr">
        <is>
          <t>DLSHOW 593</t>
        </is>
      </c>
      <c r="B17" s="5" t="inlineStr">
        <is>
          <t>00:51:06</t>
        </is>
      </c>
      <c r="C17" s="6">
        <f>HYPERLINK("https://www.youtube.com/watch?v=Vme7qk9NECM&amp;t=3066s", "▶ Assistir no YouTube (00:51:06)")</f>
        <v/>
      </c>
      <c r="D17" s="7" t="inlineStr">
        <is>
          <t>Bulbasauro Intervention</t>
        </is>
      </c>
      <c r="E17" s="7" t="inlineStr">
        <is>
          <t>Bulbasauro</t>
        </is>
      </c>
      <c r="F17" s="7" t="inlineStr">
        <is>
          <t>Bulba nega bolo pra velhinha</t>
        </is>
      </c>
      <c r="G17" s="7" t="inlineStr">
        <is>
          <t>Quirk histórico do Buba sendo pautado e relembrado pela bancada.</t>
        </is>
      </c>
    </row>
    <row r="18" ht="24" customHeight="1">
      <c r="A18" s="2" t="inlineStr">
        <is>
          <t>DLSHOW 562</t>
        </is>
      </c>
      <c r="B18" s="2" t="inlineStr">
        <is>
          <t>02:15:25</t>
        </is>
      </c>
      <c r="C18" s="3">
        <f>HYPERLINK("https://www.youtube.com/watch?v=4VjfkFmn0IE&amp;t=8125s", "▶ Assistir no YouTube (02:15:25)")</f>
        <v/>
      </c>
      <c r="D18" s="4" t="inlineStr">
        <is>
          <t>Meme do Load</t>
        </is>
      </c>
      <c r="E18" s="4" t="inlineStr">
        <is>
          <t>Load Comics</t>
        </is>
      </c>
      <c r="F18" s="4" t="inlineStr">
        <is>
          <t>O Load é ou não é Hipster?!</t>
        </is>
      </c>
      <c r="G18" s="4" t="inlineStr">
        <is>
          <t>Debate de mais de 15 minutos analisando o estilo, roupas e hábitos alternativos do Load.</t>
        </is>
      </c>
    </row>
    <row r="19" ht="24" customHeight="1">
      <c r="A19" s="5" t="inlineStr">
        <is>
          <t>DLSHOW 531</t>
        </is>
      </c>
      <c r="B19" s="5" t="inlineStr">
        <is>
          <t>00:23:33</t>
        </is>
      </c>
      <c r="C19" s="6">
        <f>HYPERLINK("https://www.youtube.com/watch?v=Vme7qk9NECM&amp;t=1413s", "▶ Assistir no YouTube (00:23:33)")</f>
        <v/>
      </c>
      <c r="D19" s="7" t="inlineStr">
        <is>
          <t>Perguntas pra Ana / Ciência</t>
        </is>
      </c>
      <c r="E19" s="7" t="inlineStr">
        <is>
          <t>Cauê Moura &amp; Load</t>
        </is>
      </c>
      <c r="F19" s="7" t="inlineStr">
        <is>
          <t>Física Quântica e Ciência</t>
        </is>
      </c>
      <c r="G19" s="7" t="inlineStr">
        <is>
          <t>Discussão acalorada sobre mecânica quântica, átomos e referência ao canal Nunca Vi Um Cientista.</t>
        </is>
      </c>
    </row>
    <row r="20" ht="24" customHeight="1">
      <c r="A20" s="2" t="inlineStr">
        <is>
          <t>DLSHOW 529</t>
        </is>
      </c>
      <c r="B20" s="2" t="inlineStr">
        <is>
          <t>00:27:05</t>
        </is>
      </c>
      <c r="C20" s="3">
        <f>HYPERLINK("https://www.youtube.com/watch?v=aq5-YtgytqY&amp;t=1625s", "▶ Assistir no YouTube (00:27:05)")</f>
        <v/>
      </c>
      <c r="D20" s="4" t="inlineStr">
        <is>
          <t>Meme do Load</t>
        </is>
      </c>
      <c r="E20" s="4" t="inlineStr">
        <is>
          <t>Load Comics</t>
        </is>
      </c>
      <c r="F20" s="4" t="inlineStr">
        <is>
          <t>O Chinelo do Load</t>
        </is>
      </c>
      <c r="G20" s="4" t="inlineStr">
        <is>
          <t>Discussão cômica sobre o icônico chinelo de dedo que o Load usa durante as transmissões no estúdio.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44" customWidth="1" min="4" max="4"/>
    <col width="46" customWidth="1" min="5" max="5"/>
    <col width="110" customWidth="1" min="6" max="6"/>
  </cols>
  <sheetData>
    <row r="1" ht="26" customHeight="1">
      <c r="A1" s="1" t="inlineStr">
        <is>
          <t>Episódio</t>
        </is>
      </c>
      <c r="B1" s="1" t="inlineStr">
        <is>
          <t>Minutagem</t>
        </is>
      </c>
      <c r="C1" s="1" t="inlineStr">
        <is>
          <t>Link do Vídeo (YouTube)</t>
        </is>
      </c>
      <c r="D1" s="1" t="inlineStr">
        <is>
          <t>Quem Enviou</t>
        </is>
      </c>
      <c r="E1" s="1" t="inlineStr">
        <is>
          <t>Estilo / Formato</t>
        </is>
      </c>
      <c r="F1" s="1" t="inlineStr">
        <is>
          <t>Letra / Descrição</t>
        </is>
      </c>
    </row>
    <row r="2" ht="24" customHeight="1">
      <c r="A2" s="2" t="inlineStr">
        <is>
          <t>DLSHOW 648</t>
        </is>
      </c>
      <c r="B2" s="2" t="inlineStr">
        <is>
          <t>00:12:00</t>
        </is>
      </c>
      <c r="C2" s="3">
        <f>HYPERLINK("https://www.youtube.com/watch?v=Vme7qk9NECM&amp;t=720s", "▶ Assistir no YouTube (00:12:00)")</f>
        <v/>
      </c>
      <c r="D2" s="4" t="inlineStr">
        <is>
          <t>Felipe Hildebrand Braguin (Braonha)</t>
        </is>
      </c>
      <c r="E2" s="4" t="inlineStr">
        <is>
          <t>Repente / Paródia (Estilo Caju &amp; Castanha)</t>
        </is>
      </c>
      <c r="F2" s="4" t="inlineStr">
        <is>
          <t>Repente com rimas afiadas sobre Cauê, Load, Buba e política ('Desce a letra show na cabeça do meu pau...')</t>
        </is>
      </c>
    </row>
    <row r="3" ht="24" customHeight="1">
      <c r="A3" s="5" t="inlineStr">
        <is>
          <t>DLSHOW 647</t>
        </is>
      </c>
      <c r="B3" s="5" t="inlineStr">
        <is>
          <t>00:15:30</t>
        </is>
      </c>
      <c r="C3" s="6">
        <f>HYPERLINK("https://www.youtube.com/watch?v=aSzszw95o8M&amp;t=930s", "▶ Assistir no YouTube (00:15:30)")</f>
        <v/>
      </c>
      <c r="D3" s="7" t="inlineStr">
        <is>
          <t>Felipe Pestana (@pestanafelip)</t>
        </is>
      </c>
      <c r="E3" s="7" t="inlineStr">
        <is>
          <t>Beat Dark / Industrial Metal</t>
        </is>
      </c>
      <c r="F3" s="7" t="inlineStr">
        <is>
          <t>Trilha com vibe sombria de metalurgia estilo 8 Mile / Rammstein.</t>
        </is>
      </c>
    </row>
    <row r="4" ht="24" customHeight="1">
      <c r="A4" s="2" t="inlineStr">
        <is>
          <t>DLSHOW 645</t>
        </is>
      </c>
      <c r="B4" s="2" t="inlineStr">
        <is>
          <t>00:20:10</t>
        </is>
      </c>
      <c r="C4" s="3">
        <f>HYPERLINK("https://www.youtube.com/watch?v=oIJJvsXIOHs&amp;t=1210s", "▶ Assistir no YouTube (00:20:10)")</f>
        <v/>
      </c>
      <c r="D4" s="4" t="inlineStr">
        <is>
          <t>Pedro Zanotti</t>
        </is>
      </c>
      <c r="E4" s="4" t="inlineStr">
        <is>
          <t>Reggae Roots Original</t>
        </is>
      </c>
      <c r="F4" s="4" t="inlineStr">
        <is>
          <t>Reggae harmonizado com vozes e violão bem trabalhado.</t>
        </is>
      </c>
    </row>
    <row r="5" ht="24" customHeight="1">
      <c r="A5" s="5" t="inlineStr">
        <is>
          <t>DLSHOW 640</t>
        </is>
      </c>
      <c r="B5" s="5" t="inlineStr">
        <is>
          <t>00:12:00</t>
        </is>
      </c>
      <c r="C5" s="6">
        <f>HYPERLINK("https://www.youtube.com/watch?v=3nrug68QLdw&amp;t=720s", "▶ Assistir no YouTube (00:12:00)")</f>
        <v/>
      </c>
      <c r="D5" s="7" t="inlineStr">
        <is>
          <t>Gustavo Pinheiros</t>
        </is>
      </c>
      <c r="E5" s="7" t="inlineStr">
        <is>
          <t>System of a Down Paródia</t>
        </is>
      </c>
      <c r="F5" s="7" t="inlineStr">
        <is>
          <t>Paródia no estilo nu-metal usando a bateria original da banda.</t>
        </is>
      </c>
    </row>
    <row r="6" ht="24" customHeight="1">
      <c r="A6" s="2" t="inlineStr">
        <is>
          <t>DLSHOW 639</t>
        </is>
      </c>
      <c r="B6" s="2" t="inlineStr">
        <is>
          <t>00:11:15</t>
        </is>
      </c>
      <c r="C6" s="3">
        <f>HYPERLINK("https://www.youtube.com/watch?v=ATx3j20Yxs0&amp;t=675s", "▶ Assistir no YouTube (00:11:15)")</f>
        <v/>
      </c>
      <c r="D6" s="4" t="inlineStr">
        <is>
          <t>Begano (@began01)</t>
        </is>
      </c>
      <c r="E6" s="4" t="inlineStr">
        <is>
          <t>Stoner Rock Hipnótico</t>
        </is>
      </c>
      <c r="F6" s="4" t="inlineStr">
        <is>
          <t>Riff pesado de stoner rock gravado no amplificador de guitarra.</t>
        </is>
      </c>
    </row>
    <row r="7" ht="24" customHeight="1">
      <c r="A7" s="5" t="inlineStr">
        <is>
          <t>DLSHOW 637</t>
        </is>
      </c>
      <c r="B7" s="5" t="inlineStr">
        <is>
          <t>00:23:20</t>
        </is>
      </c>
      <c r="C7" s="6">
        <f>HYPERLINK("https://www.youtube.com/watch?v=jr4HNj9k8Nw&amp;t=1400s", "▶ Assistir no YouTube (00:23:20)")</f>
        <v/>
      </c>
      <c r="D7" s="7" t="inlineStr">
        <is>
          <t>Ouvinte Colaborador</t>
        </is>
      </c>
      <c r="E7" s="7" t="inlineStr">
        <is>
          <t>Vinheta Temática 5ª Temp</t>
        </is>
      </c>
      <c r="F7" s="7" t="inlineStr">
        <is>
          <t>Vinheta animada de abertura enviada por ouvinte.</t>
        </is>
      </c>
    </row>
    <row r="8" ht="24" customHeight="1">
      <c r="A8" s="2" t="inlineStr">
        <is>
          <t>DLSHOW 636</t>
        </is>
      </c>
      <c r="B8" s="2" t="inlineStr">
        <is>
          <t>00:18:53</t>
        </is>
      </c>
      <c r="C8" s="3">
        <f>HYPERLINK("https://www.youtube.com/watch?v=-XTVEDJ7k1g&amp;t=1133s", "▶ Assistir no YouTube (00:18:53)")</f>
        <v/>
      </c>
      <c r="D8" s="4" t="inlineStr">
        <is>
          <t>Ouvinte Colaborador</t>
        </is>
      </c>
      <c r="E8" s="4" t="inlineStr">
        <is>
          <t>Vinheta Amostradinho</t>
        </is>
      </c>
      <c r="F8" s="4" t="inlineStr">
        <is>
          <t>Vinheta satirizando o meme do 'Amostradino' e trends atuais.</t>
        </is>
      </c>
    </row>
    <row r="9" ht="24" customHeight="1">
      <c r="A9" s="5" t="inlineStr">
        <is>
          <t>DLSHOW 635</t>
        </is>
      </c>
      <c r="B9" s="5" t="inlineStr">
        <is>
          <t>00:18:00</t>
        </is>
      </c>
      <c r="C9" s="6">
        <f>HYPERLINK("https://www.youtube.com/watch?v=wvf_rHDNHdk&amp;t=1080s", "▶ Assistir no YouTube (00:18:00)")</f>
        <v/>
      </c>
      <c r="D9" s="7" t="inlineStr">
        <is>
          <t>Will Tottaro</t>
        </is>
      </c>
      <c r="E9" s="7" t="inlineStr">
        <is>
          <t>Reggaeton Etéreo</t>
        </is>
      </c>
      <c r="F9" s="7" t="inlineStr">
        <is>
          <t>Reggaeton com sintetizadores e vibe synthwave no estilo Stranger Things.</t>
        </is>
      </c>
    </row>
    <row r="10" ht="24" customHeight="1">
      <c r="A10" s="2" t="inlineStr">
        <is>
          <t>DLSHOW 633</t>
        </is>
      </c>
      <c r="B10" s="2" t="inlineStr">
        <is>
          <t>00:15:40</t>
        </is>
      </c>
      <c r="C10" s="3">
        <f>HYPERLINK("https://www.youtube.com/watch?v=DhTo34z3noI&amp;t=940s", "▶ Assistir no YouTube (00:15:40)")</f>
        <v/>
      </c>
      <c r="D10" s="4" t="inlineStr">
        <is>
          <t>Vittor Tibo</t>
        </is>
      </c>
      <c r="E10" s="4" t="inlineStr">
        <is>
          <t>Blues Tradicional com Gaita</t>
        </is>
      </c>
      <c r="F10" s="4" t="inlineStr">
        <is>
          <t>Blues acústico em tom menor sobre o cotidiano da bancada.</t>
        </is>
      </c>
    </row>
    <row r="11" ht="24" customHeight="1">
      <c r="A11" s="5" t="inlineStr">
        <is>
          <t>DLSHOW 632</t>
        </is>
      </c>
      <c r="B11" s="5" t="inlineStr">
        <is>
          <t>00:14:10</t>
        </is>
      </c>
      <c r="C11" s="6">
        <f>HYPERLINK("https://www.youtube.com/watch?v=zuvCdkUWr0w&amp;t=850s", "▶ Assistir no YouTube (00:14:10)")</f>
        <v/>
      </c>
      <c r="D11" s="7" t="inlineStr">
        <is>
          <t>Douglas Assunção</t>
        </is>
      </c>
      <c r="E11" s="7" t="inlineStr">
        <is>
          <t>Eletro / Synth Experimental</t>
        </is>
      </c>
      <c r="F11" s="7" t="inlineStr">
        <is>
          <t>Batida eletrônica programada em synth estilo anos 80.</t>
        </is>
      </c>
    </row>
    <row r="12" ht="24" customHeight="1">
      <c r="A12" s="2" t="inlineStr">
        <is>
          <t>DLSHOW 631</t>
        </is>
      </c>
      <c r="B12" s="2" t="inlineStr">
        <is>
          <t>00:15:20</t>
        </is>
      </c>
      <c r="C12" s="3">
        <f>HYPERLINK("https://www.youtube.com/watch?v=lIhI99LbVvk&amp;t=920s", "▶ Assistir no YouTube (00:15:20)")</f>
        <v/>
      </c>
      <c r="D12" s="4" t="inlineStr">
        <is>
          <t>Ouvinte Beatmaker</t>
        </is>
      </c>
      <c r="E12" s="4" t="inlineStr">
        <is>
          <t>Boom Bap / Rap Hip-Hop</t>
        </is>
      </c>
      <c r="F12" s="4" t="inlineStr">
        <is>
          <t>Beat tradicional de rap rimando sobre as pautas do quadro do Buba.</t>
        </is>
      </c>
    </row>
    <row r="13" ht="24" customHeight="1">
      <c r="A13" s="5" t="inlineStr">
        <is>
          <t>DLSHOW 630</t>
        </is>
      </c>
      <c r="B13" s="5" t="inlineStr">
        <is>
          <t>00:18:00</t>
        </is>
      </c>
      <c r="C13" s="6">
        <f>HYPERLINK("https://www.youtube.com/watch?v=sIOnDXwttW4&amp;t=1080s", "▶ Assistir no YouTube (00:18:00)")</f>
        <v/>
      </c>
      <c r="D13" s="7" t="inlineStr">
        <is>
          <t>Caio Simões</t>
        </is>
      </c>
      <c r="E13" s="7" t="inlineStr">
        <is>
          <t>Western / Country Rock</t>
        </is>
      </c>
      <c r="F13" s="7" t="inlineStr">
        <is>
          <t>Trilha com clima de filme de velho oeste / Red Dead Redemption.</t>
        </is>
      </c>
    </row>
    <row r="14" ht="24" customHeight="1">
      <c r="A14" s="2" t="inlineStr">
        <is>
          <t>DLSHOW 628</t>
        </is>
      </c>
      <c r="B14" s="2" t="inlineStr">
        <is>
          <t>00:15:00</t>
        </is>
      </c>
      <c r="C14" s="3">
        <f>HYPERLINK("https://www.youtube.com/watch?v=sIOnDXwttW4&amp;t=900s", "▶ Assistir no YouTube (00:15:00)")</f>
        <v/>
      </c>
      <c r="D14" s="4" t="inlineStr">
        <is>
          <t>Ouvinte Cantora</t>
        </is>
      </c>
      <c r="E14" s="4" t="inlineStr">
        <is>
          <t>Acapella / Beatbox Fêmea</t>
        </is>
      </c>
      <c r="F14" s="4" t="inlineStr">
        <is>
          <t>Curta vinheta em acapella de 15 segundos sem acompanhamento instrumental.</t>
        </is>
      </c>
    </row>
    <row r="15" ht="24" customHeight="1">
      <c r="A15" s="5" t="inlineStr">
        <is>
          <t>DLSHOW 625</t>
        </is>
      </c>
      <c r="B15" s="5" t="inlineStr">
        <is>
          <t>00:34:00</t>
        </is>
      </c>
      <c r="C15" s="6">
        <f>HYPERLINK("https://www.youtube.com/watch?v=mekYK_2RnA8&amp;t=2040s", "▶ Assistir no YouTube (00:34:00)")</f>
        <v/>
      </c>
      <c r="D15" s="7" t="inlineStr">
        <is>
          <t>Ouvinte Colaborador</t>
        </is>
      </c>
      <c r="E15" s="7" t="inlineStr">
        <is>
          <t>Vinheta Shrek / Hip-Hop</t>
        </is>
      </c>
      <c r="F15" s="7" t="inlineStr">
        <is>
          <t>Vinheta com recortes de áudios de filmes pop e humor.</t>
        </is>
      </c>
    </row>
    <row r="16" ht="24" customHeight="1">
      <c r="A16" s="2" t="inlineStr">
        <is>
          <t>DLSHOW 623</t>
        </is>
      </c>
      <c r="B16" s="2" t="inlineStr">
        <is>
          <t>00:18:00</t>
        </is>
      </c>
      <c r="C16" s="3">
        <f>HYPERLINK("https://www.youtube.com/watch?v=0wsdOI1RkWo&amp;t=1080s", "▶ Assistir no YouTube (00:18:00)")</f>
        <v/>
      </c>
      <c r="D16" s="4" t="inlineStr">
        <is>
          <t>Ângelo Branco</t>
        </is>
      </c>
      <c r="E16" s="4" t="inlineStr">
        <is>
          <t>Ukulele Acústico Folk</t>
        </is>
      </c>
      <c r="F16" s="4" t="inlineStr">
        <is>
          <t>Ukulele tocado ao vivo com letra provocando o ódio do Load pelo instrumento.</t>
        </is>
      </c>
    </row>
    <row r="17" ht="24" customHeight="1">
      <c r="A17" s="5" t="inlineStr">
        <is>
          <t>DLSHOW 621</t>
        </is>
      </c>
      <c r="B17" s="5" t="inlineStr">
        <is>
          <t>00:16:00</t>
        </is>
      </c>
      <c r="C17" s="6">
        <f>HYPERLINK("https://www.youtube.com/watch?v=IBjoOiw0iY&amp;t=960s", "▶ Assistir no YouTube (00:16:00)")</f>
        <v/>
      </c>
      <c r="D17" s="7" t="inlineStr">
        <is>
          <t>Cigarro Mata (Banda)</t>
        </is>
      </c>
      <c r="E17" s="7" t="inlineStr">
        <is>
          <t>Rock Autoral do Paraná</t>
        </is>
      </c>
      <c r="F17" s="7" t="inlineStr">
        <is>
          <t>Som gravado no Estúdio Costela em SP enviada pela banda de Campo Mourão.</t>
        </is>
      </c>
    </row>
    <row r="18" ht="24" customHeight="1">
      <c r="A18" s="2" t="inlineStr">
        <is>
          <t>DLSHOW 620</t>
        </is>
      </c>
      <c r="B18" s="2" t="inlineStr">
        <is>
          <t>00:15:00</t>
        </is>
      </c>
      <c r="C18" s="3">
        <f>HYPERLINK("https://www.youtube.com/watch?v=5creXtJTZpc&amp;t=900s", "▶ Assistir no YouTube (00:15:00)")</f>
        <v/>
      </c>
      <c r="D18" s="4" t="inlineStr">
        <is>
          <t>Dedo Dorfo, André, Rodolfo &amp; Bilo</t>
        </is>
      </c>
      <c r="E18" s="4" t="inlineStr">
        <is>
          <t>Grindcore / Black Metal</t>
        </is>
      </c>
      <c r="F18" s="4" t="inlineStr">
        <is>
          <t>Vocal rasgado, bateria veloz e guitarras pesadas de metal extremo.</t>
        </is>
      </c>
    </row>
    <row r="19" ht="24" customHeight="1">
      <c r="A19" s="5" t="inlineStr">
        <is>
          <t>DLSHOW 619</t>
        </is>
      </c>
      <c r="B19" s="5" t="inlineStr">
        <is>
          <t>00:34:31</t>
        </is>
      </c>
      <c r="C19" s="6">
        <f>HYPERLINK("https://www.youtube.com/watch?v=8YBemV5RDRQ&amp;t=2071s", "▶ Assistir no YouTube (00:34:31)")</f>
        <v/>
      </c>
      <c r="D19" s="7" t="inlineStr">
        <is>
          <t>Igor Lobo, Guilherme, Cadu, Beck &amp; Brian</t>
        </is>
      </c>
      <c r="E19" s="7" t="inlineStr">
        <is>
          <t>Eletrônica / DLS Máfia</t>
        </is>
      </c>
      <c r="F19" s="7" t="inlineStr">
        <is>
          <t>Produção profissional com capas customizadas e arranjos eletrônicos pesados.</t>
        </is>
      </c>
    </row>
    <row r="20" ht="24" customHeight="1">
      <c r="A20" s="2" t="inlineStr">
        <is>
          <t>DLSHOW 618</t>
        </is>
      </c>
      <c r="B20" s="2" t="inlineStr">
        <is>
          <t>00:16:00</t>
        </is>
      </c>
      <c r="C20" s="3">
        <f>HYPERLINK("https://www.youtube.com/watch?v=aq5-YtgytqY&amp;t=960s", "▶ Assistir no YouTube (00:16:00)")</f>
        <v/>
      </c>
      <c r="D20" s="4" t="inlineStr">
        <is>
          <t>Ouvinte Colaborador</t>
        </is>
      </c>
      <c r="E20" s="4" t="inlineStr">
        <is>
          <t>Samba / Pagode 'Lula Silva'</t>
        </is>
      </c>
      <c r="F20" s="4" t="inlineStr">
        <is>
          <t>Samba enredo homenageando a trajetória do Presidente Lula.</t>
        </is>
      </c>
    </row>
    <row r="21" ht="24" customHeight="1">
      <c r="A21" s="5" t="inlineStr">
        <is>
          <t>DLSHOW 617</t>
        </is>
      </c>
      <c r="B21" s="5" t="inlineStr">
        <is>
          <t>00:18:00</t>
        </is>
      </c>
      <c r="C21" s="6">
        <f>HYPERLINK("https://www.youtube.com/watch?v=2Z_N3p-Z2aM&amp;t=1080s", "▶ Assistir no YouTube (00:18:00)")</f>
        <v/>
      </c>
      <c r="D21" s="7" t="inlineStr">
        <is>
          <t>Vittor Recife</t>
        </is>
      </c>
      <c r="E21" s="7" t="inlineStr">
        <is>
          <t>Forró / Xote 'Açúcar Doce'</t>
        </is>
      </c>
      <c r="F21" s="7" t="inlineStr">
        <is>
          <t>Abertura em tom de forró nordestino parodiando o jingle do Flávio Bolsonaro.</t>
        </is>
      </c>
    </row>
    <row r="22" ht="24" customHeight="1">
      <c r="A22" s="2" t="inlineStr">
        <is>
          <t>DLSHOW 611</t>
        </is>
      </c>
      <c r="B22" s="2" t="inlineStr">
        <is>
          <t>00:16:00</t>
        </is>
      </c>
      <c r="C22" s="3">
        <f>HYPERLINK("https://www.youtube.com/watch?v=5MvEmsrFKsY&amp;t=960s", "▶ Assistir no YouTube (00:16:00)")</f>
        <v/>
      </c>
      <c r="D22" s="4" t="inlineStr">
        <is>
          <t>Diogo do Monte</t>
        </is>
      </c>
      <c r="E22" s="4" t="inlineStr">
        <is>
          <t>Arrastapé / Baião Nordestino</t>
        </is>
      </c>
      <c r="F22" s="4" t="inlineStr">
        <is>
          <t>Diogo tocou Zabumba, Triângulo e Sanfona celebrando o 'Moad' e a bancada.</t>
        </is>
      </c>
    </row>
    <row r="23" ht="24" customHeight="1">
      <c r="A23" s="5" t="inlineStr">
        <is>
          <t>DLSHOW 608</t>
        </is>
      </c>
      <c r="B23" s="5" t="inlineStr">
        <is>
          <t>00:33:29</t>
        </is>
      </c>
      <c r="C23" s="6">
        <f>HYPERLINK("https://www.youtube.com/watch?v=rOtFhFxfhTE&amp;t=2009s", "▶ Assistir no YouTube (00:33:29)")</f>
        <v/>
      </c>
      <c r="D23" s="7" t="inlineStr">
        <is>
          <t>Ouvinte Colaborador</t>
        </is>
      </c>
      <c r="E23" s="7" t="inlineStr">
        <is>
          <t>Vinheta É o Tchan / Axé</t>
        </is>
      </c>
      <c r="F23" s="7" t="inlineStr">
        <is>
          <t>Ritmo de axé e pagode baiano retrô anos 90.</t>
        </is>
      </c>
    </row>
    <row r="24" ht="24" customHeight="1">
      <c r="A24" s="2" t="inlineStr">
        <is>
          <t>DLSHOW 607</t>
        </is>
      </c>
      <c r="B24" s="2" t="inlineStr">
        <is>
          <t>00:15:00</t>
        </is>
      </c>
      <c r="C24" s="3">
        <f>HYPERLINK("https://www.youtube.com/watch?v=GcrrPgDv1Dc&amp;t=900s", "▶ Assistir no YouTube (00:15:00)")</f>
        <v/>
      </c>
      <c r="D24" s="4" t="inlineStr">
        <is>
          <t>Vin Marques</t>
        </is>
      </c>
      <c r="E24" s="4" t="inlineStr">
        <is>
          <t>Capella / Poesia Falada</t>
        </is>
      </c>
      <c r="F24" s="4" t="inlineStr">
        <is>
          <t>Performance poética sem acompanhamento instrumental com métrica forte.</t>
        </is>
      </c>
    </row>
    <row r="25" ht="24" customHeight="1">
      <c r="A25" s="5" t="inlineStr">
        <is>
          <t>DLSHOW 570</t>
        </is>
      </c>
      <c r="B25" s="5" t="inlineStr">
        <is>
          <t>00:34:34</t>
        </is>
      </c>
      <c r="C25" s="6">
        <f>HYPERLINK("https://www.youtube.com/watch?v=Vme7qk9NECM&amp;t=2074s", "▶ Assistir no YouTube (00:34:34)")</f>
        <v/>
      </c>
      <c r="D25" s="7" t="inlineStr">
        <is>
          <t>Ouvinte Metalhead</t>
        </is>
      </c>
      <c r="E25" s="7" t="inlineStr">
        <is>
          <t>Death Metal / Grindcore</t>
        </is>
      </c>
      <c r="F25" s="7" t="inlineStr">
        <is>
          <t>Vocais rasgados estilo metal extremo na vinheta acompanhados por Cauê.</t>
        </is>
      </c>
    </row>
    <row r="26" ht="24" customHeight="1">
      <c r="A26" s="2" t="inlineStr">
        <is>
          <t>DLSHOW 562</t>
        </is>
      </c>
      <c r="B26" s="2" t="inlineStr">
        <is>
          <t>00:55:16</t>
        </is>
      </c>
      <c r="C26" s="3">
        <f>HYPERLINK("https://www.youtube.com/watch?v=4VjfkFmn0IE&amp;t=3316s", "▶ Assistir no YouTube (00:55:16)")</f>
        <v/>
      </c>
      <c r="D26" s="4" t="inlineStr">
        <is>
          <t>Ouvinte Latino</t>
        </is>
      </c>
      <c r="E26" s="4" t="inlineStr">
        <is>
          <t>Reggaeton Urbano</t>
        </is>
      </c>
      <c r="F26" s="4" t="inlineStr">
        <is>
          <t>Ritmo urbano latino e batida dancehall.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44" customWidth="1" min="4" max="4"/>
    <col width="40" customWidth="1" min="5" max="5"/>
    <col width="62" customWidth="1" min="6" max="6"/>
    <col width="81" customWidth="1" min="7" max="7"/>
  </cols>
  <sheetData>
    <row r="1" ht="26" customHeight="1">
      <c r="A1" s="1" t="inlineStr">
        <is>
          <t>Episódio</t>
        </is>
      </c>
      <c r="B1" s="1" t="inlineStr">
        <is>
          <t>Minutagem</t>
        </is>
      </c>
      <c r="C1" s="1" t="inlineStr">
        <is>
          <t>Link do Vídeo (YouTube)</t>
        </is>
      </c>
      <c r="D1" s="1" t="inlineStr">
        <is>
          <t>Música / Artista</t>
        </is>
      </c>
      <c r="E1" s="1" t="inlineStr">
        <is>
          <t>Cantado Por</t>
        </is>
      </c>
      <c r="F1" s="1" t="inlineStr">
        <is>
          <t>Gatilho / Contexto</t>
        </is>
      </c>
      <c r="G1" s="1" t="inlineStr">
        <is>
          <t>Observações</t>
        </is>
      </c>
    </row>
    <row r="2" ht="24" customHeight="1">
      <c r="A2" s="2" t="inlineStr">
        <is>
          <t>DLSHOW 648</t>
        </is>
      </c>
      <c r="B2" s="2" t="inlineStr">
        <is>
          <t>01:23:00</t>
        </is>
      </c>
      <c r="C2" s="3">
        <f>HYPERLINK("https://www.youtube.com/watch?v=Vme7qk9NECM&amp;t=4980s", "▶ Assistir no YouTube (01:23:00)")</f>
        <v/>
      </c>
      <c r="D2" s="4" t="inlineStr">
        <is>
          <t>Leãozinho (Caetano Veloso / Armandinho)</t>
        </is>
      </c>
      <c r="E2" s="4" t="inlineStr">
        <is>
          <t>Cauê Moura &amp; Load Comics</t>
        </is>
      </c>
      <c r="F2" s="4" t="inlineStr">
        <is>
          <t>Pauta sobre a prisão do influencer Wilker Leão</t>
        </is>
      </c>
      <c r="G2" s="4" t="inlineStr">
        <is>
          <t>Cauê canta 'Gosto muito de te ver, leãozinho...' logo após comentar a prisão.</t>
        </is>
      </c>
    </row>
    <row r="3" ht="24" customHeight="1">
      <c r="A3" s="5" t="inlineStr">
        <is>
          <t>DLSHOW 635</t>
        </is>
      </c>
      <c r="B3" s="5" t="inlineStr">
        <is>
          <t>02:15:00</t>
        </is>
      </c>
      <c r="C3" s="6">
        <f>HYPERLINK("https://www.youtube.com/watch?v=wvf_rHDNHdk&amp;t=8100s", "▶ Assistir no YouTube (02:15:00)")</f>
        <v/>
      </c>
      <c r="D3" s="7" t="inlineStr">
        <is>
          <t>Odisseia (Lucas Inutilismo)</t>
        </is>
      </c>
      <c r="E3" s="7" t="inlineStr">
        <is>
          <t>Cauê Moura &amp; Load</t>
        </is>
      </c>
      <c r="F3" s="7" t="inlineStr">
        <is>
          <t>Comentário sobre o show do Lucas Inutilismo no Rock in Rio</t>
        </is>
      </c>
      <c r="G3" s="7" t="inlineStr">
        <is>
          <t>Cauê imita os vocais emotivos e melódicos do metalcore de Lucas.</t>
        </is>
      </c>
    </row>
    <row r="4" ht="24" customHeight="1">
      <c r="A4" s="2" t="inlineStr">
        <is>
          <t>DLSHOW 626</t>
        </is>
      </c>
      <c r="B4" s="2" t="inlineStr">
        <is>
          <t>00:05:00</t>
        </is>
      </c>
      <c r="C4" s="3">
        <f>HYPERLINK("https://www.youtube.com/watch?v=27f7VEe7QVQ&amp;t=300s", "▶ Assistir no YouTube (00:05:00)")</f>
        <v/>
      </c>
      <c r="D4" s="4" t="inlineStr">
        <is>
          <t>Rap Nacional / Sabotage / Facção Central</t>
        </is>
      </c>
      <c r="E4" s="4" t="inlineStr">
        <is>
          <t>Cauê Moura &amp; Load</t>
        </is>
      </c>
      <c r="F4" s="4" t="inlineStr">
        <is>
          <t>Reação ao aviso de direitos autorais do YouTube</t>
        </is>
      </c>
      <c r="G4" s="4" t="inlineStr">
        <is>
          <t>Cauê e Load cantam trechos de clássicos do rap nacional no estúdio.</t>
        </is>
      </c>
    </row>
    <row r="5" ht="24" customHeight="1">
      <c r="A5" s="5" t="inlineStr">
        <is>
          <t>DLSHOW 608</t>
        </is>
      </c>
      <c r="B5" s="5" t="inlineStr">
        <is>
          <t>00:07:28</t>
        </is>
      </c>
      <c r="C5" s="6">
        <f>HYPERLINK("https://www.youtube.com/watch?v=rOtFhFxfhTE&amp;t=448s", "▶ Assistir no YouTube (00:07:28)")</f>
        <v/>
      </c>
      <c r="D5" s="7" t="inlineStr">
        <is>
          <t>Músicas do É o Tchan</t>
        </is>
      </c>
      <c r="E5" s="7" t="inlineStr">
        <is>
          <t>Cauê &amp; Load</t>
        </is>
      </c>
      <c r="F5" s="7" t="inlineStr">
        <is>
          <t>Abertura e nostalgia dos anos 90</t>
        </is>
      </c>
      <c r="G5" s="7" t="inlineStr">
        <is>
          <t>Sessão de dança da cordinha e nostalgia no início do programa.</t>
        </is>
      </c>
    </row>
    <row r="6" ht="24" customHeight="1">
      <c r="A6" s="2" t="inlineStr">
        <is>
          <t>DLSHOW 570</t>
        </is>
      </c>
      <c r="B6" s="2" t="inlineStr">
        <is>
          <t>00:34:34</t>
        </is>
      </c>
      <c r="C6" s="3">
        <f>HYPERLINK("https://www.youtube.com/watch?v=Vme7qk9NECM&amp;t=2074s", "▶ Assistir no YouTube (00:34:34)")</f>
        <v/>
      </c>
      <c r="D6" s="4" t="inlineStr">
        <is>
          <t>Gritos Death Metal / Gutural</t>
        </is>
      </c>
      <c r="E6" s="4" t="inlineStr">
        <is>
          <t>Cauê Moura</t>
        </is>
      </c>
      <c r="F6" s="4" t="inlineStr">
        <is>
          <t>Reação à vinheta enviada por ouvinte</t>
        </is>
      </c>
      <c r="G6" s="4" t="inlineStr">
        <is>
          <t>Cauê imita vocal gutural rasgado acompanhando a vinheta pesada.</t>
        </is>
      </c>
    </row>
    <row r="7" ht="24" customHeight="1">
      <c r="A7" s="5" t="inlineStr">
        <is>
          <t>DLSHOW 531</t>
        </is>
      </c>
      <c r="B7" s="5" t="inlineStr">
        <is>
          <t>00:23:33</t>
        </is>
      </c>
      <c r="C7" s="6">
        <f>HYPERLINK("https://www.youtube.com/watch?v=Vme7qk9NECM&amp;t=1413s", "▶ Assistir no YouTube (00:23:33)")</f>
        <v/>
      </c>
      <c r="D7" s="7" t="inlineStr">
        <is>
          <t>Riffs e Vocais Heavy Metal</t>
        </is>
      </c>
      <c r="E7" s="7" t="inlineStr">
        <is>
          <t>Cauê Moura &amp; Load</t>
        </is>
      </c>
      <c r="F7" s="7" t="inlineStr">
        <is>
          <t>Vinheta com guitarras de metal</t>
        </is>
      </c>
      <c r="G7" s="7" t="inlineStr">
        <is>
          <t>Interpretação cômica de rock pesado ao vivo na bancada.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43" customWidth="1" min="4" max="4"/>
    <col width="40" customWidth="1" min="5" max="5"/>
    <col width="44" customWidth="1" min="6" max="6"/>
    <col width="111" customWidth="1" min="7" max="7"/>
  </cols>
  <sheetData>
    <row r="1" ht="26" customHeight="1">
      <c r="A1" s="1" t="inlineStr">
        <is>
          <t>Episódio</t>
        </is>
      </c>
      <c r="B1" s="1" t="inlineStr">
        <is>
          <t>Minutagem</t>
        </is>
      </c>
      <c r="C1" s="1" t="inlineStr">
        <is>
          <t>Link do Vídeo (YouTube)</t>
        </is>
      </c>
      <c r="D1" s="1" t="inlineStr">
        <is>
          <t>Alimento / Bebida</t>
        </is>
      </c>
      <c r="E1" s="1" t="inlineStr">
        <is>
          <t>Quem Comeu / Bebeu</t>
        </is>
      </c>
      <c r="F1" s="1" t="inlineStr">
        <is>
          <t>Momento / Contexto</t>
        </is>
      </c>
      <c r="G1" s="1" t="inlineStr">
        <is>
          <t>História / Opinião</t>
        </is>
      </c>
    </row>
    <row r="2" ht="24" customHeight="1">
      <c r="A2" s="2" t="inlineStr">
        <is>
          <t>DLSHOW 648</t>
        </is>
      </c>
      <c r="B2" s="2" t="inlineStr">
        <is>
          <t>00:33:00</t>
        </is>
      </c>
      <c r="C2" s="3">
        <f>HYPERLINK("https://www.youtube.com/watch?v=Vme7qk9NECM&amp;t=1980s", "▶ Assistir no YouTube (00:33:00)")</f>
        <v/>
      </c>
      <c r="D2" s="4" t="inlineStr">
        <is>
          <t>Manga / Mamão / Frutas Picadas Mofadas</t>
        </is>
      </c>
      <c r="E2" s="4" t="inlineStr">
        <is>
          <t>Cauê Moura</t>
        </is>
      </c>
      <c r="F2" s="4" t="inlineStr">
        <is>
          <t>Pacto das Frutas Picadas no Mercado</t>
        </is>
      </c>
      <c r="G2" s="4" t="inlineStr">
        <is>
          <t>Cauê defende comprar fruta picada mesmo se tiver fungo/larva, alegando que 'é nutriente extra'.</t>
        </is>
      </c>
    </row>
    <row r="3" ht="24" customHeight="1">
      <c r="A3" s="5" t="inlineStr">
        <is>
          <t>DLSHOW 648</t>
        </is>
      </c>
      <c r="B3" s="5" t="inlineStr">
        <is>
          <t>00:38:00</t>
        </is>
      </c>
      <c r="C3" s="6">
        <f>HYPERLINK("https://www.youtube.com/watch?v=Vme7qk9NECM&amp;t=2280s", "▶ Assistir no YouTube (00:38:00)")</f>
        <v/>
      </c>
      <c r="D3" s="7" t="inlineStr">
        <is>
          <t>Triple Stacker do BK do Lixo (2017)</t>
        </is>
      </c>
      <c r="E3" s="7" t="inlineStr">
        <is>
          <t>Cauê Moura (Relato)</t>
        </is>
      </c>
      <c r="F3" s="7" t="inlineStr">
        <is>
          <t>Era solteiro morando no Bairro do Limão</t>
        </is>
      </c>
      <c r="G3" s="7" t="inlineStr">
        <is>
          <t>Cauê conta que jogou um lanche BK extra no lixo às 2h e recuperou para comer 12h depois.</t>
        </is>
      </c>
    </row>
    <row r="4" ht="24" customHeight="1">
      <c r="A4" s="2" t="inlineStr">
        <is>
          <t>DLSHOW 648</t>
        </is>
      </c>
      <c r="B4" s="2" t="inlineStr">
        <is>
          <t>01:03:30</t>
        </is>
      </c>
      <c r="C4" s="3">
        <f>HYPERLINK("https://www.youtube.com/watch?v=Vme7qk9NECM&amp;t=3810s", "▶ Assistir no YouTube (01:03:30)")</f>
        <v/>
      </c>
      <c r="D4" s="4" t="inlineStr">
        <is>
          <t>Pizza Gelada / Arroz Frio / Comida Fria</t>
        </is>
      </c>
      <c r="E4" s="4" t="inlineStr">
        <is>
          <t>Cauê Moura &amp; Load</t>
        </is>
      </c>
      <c r="F4" s="4" t="inlineStr">
        <is>
          <t>Enquete do dia no programa</t>
        </is>
      </c>
      <c r="G4" s="4" t="inlineStr">
        <is>
          <t>44% da audiência concordou que pizza gelada é boa. Cauê ama arroz frio e comida da geladeira.</t>
        </is>
      </c>
    </row>
    <row r="5" ht="24" customHeight="1">
      <c r="A5" s="5" t="inlineStr">
        <is>
          <t>DLSHOW 648</t>
        </is>
      </c>
      <c r="B5" s="5" t="inlineStr">
        <is>
          <t>01:05:00</t>
        </is>
      </c>
      <c r="C5" s="6">
        <f>HYPERLINK("https://www.youtube.com/watch?v=Vme7qk9NECM&amp;t=3900s", "▶ Assistir no YouTube (01:05:00)")</f>
        <v/>
      </c>
      <c r="D5" s="7" t="inlineStr">
        <is>
          <t>Chá Mate Torrado com Gengibre Quente</t>
        </is>
      </c>
      <c r="E5" s="7" t="inlineStr">
        <is>
          <t>Cauê Moura</t>
        </is>
      </c>
      <c r="F5" s="7" t="inlineStr">
        <is>
          <t>Preparo ao vivo no microondas do estúdio</t>
        </is>
      </c>
      <c r="G5" s="7" t="inlineStr">
        <is>
          <t>Cauê tomou o chá tinindo de quente. Buba e Load recusaram por estar pelando.</t>
        </is>
      </c>
    </row>
    <row r="6" ht="24" customHeight="1">
      <c r="A6" s="2" t="inlineStr">
        <is>
          <t>DLSHOW 648</t>
        </is>
      </c>
      <c r="B6" s="2" t="inlineStr">
        <is>
          <t>01:08:00</t>
        </is>
      </c>
      <c r="C6" s="3">
        <f>HYPERLINK("https://www.youtube.com/watch?v=Vme7qk9NECM&amp;t=4080s", "▶ Assistir no YouTube (01:08:00)")</f>
        <v/>
      </c>
      <c r="D6" s="4" t="inlineStr">
        <is>
          <t>Perfume Kaiak Aventura</t>
        </is>
      </c>
      <c r="E6" s="4" t="inlineStr">
        <is>
          <t>Load Comics</t>
        </is>
      </c>
      <c r="F6" s="4" t="inlineStr">
        <is>
          <t>Nécessaire do Load</t>
        </is>
      </c>
      <c r="G6" s="4" t="inlineStr">
        <is>
          <t>Load tirou a colônia da bolsa para mostrar como se mantém cheiroso nos compromissos.</t>
        </is>
      </c>
    </row>
    <row r="7" ht="24" customHeight="1">
      <c r="A7" s="5" t="inlineStr">
        <is>
          <t>DLSHOW 630</t>
        </is>
      </c>
      <c r="B7" s="5" t="inlineStr">
        <is>
          <t>00:05:00</t>
        </is>
      </c>
      <c r="C7" s="6">
        <f>HYPERLINK("https://www.youtube.com/watch?v=sIOnDXwttW4&amp;t=300s", "▶ Assistir no YouTube (00:05:00)")</f>
        <v/>
      </c>
      <c r="D7" s="7" t="inlineStr">
        <is>
          <t>Doce de Leite de Viçosa vs. Lavanda</t>
        </is>
      </c>
      <c r="E7" s="7" t="inlineStr">
        <is>
          <t>Cauê Moura &amp; Buba</t>
        </is>
      </c>
      <c r="F7" s="7" t="inlineStr">
        <is>
          <t>Degustação de presentes dos ouvintes</t>
        </is>
      </c>
      <c r="G7" s="7" t="inlineStr">
        <is>
          <t>Cauê elogiou o Doce de Leite de Viçosa tradicional e detonou a versão com lavanda ('gosto de sabão').</t>
        </is>
      </c>
    </row>
    <row r="8" ht="24" customHeight="1">
      <c r="A8" s="2" t="inlineStr">
        <is>
          <t>DLSHOW 623</t>
        </is>
      </c>
      <c r="B8" s="2" t="inlineStr">
        <is>
          <t>00:20:00</t>
        </is>
      </c>
      <c r="C8" s="3">
        <f>HYPERLINK("https://www.youtube.com/watch?v=0wsdOI1RkWo&amp;t=1200s", "▶ Assistir no YouTube (00:20:00)")</f>
        <v/>
      </c>
      <c r="D8" s="4" t="inlineStr">
        <is>
          <t>Moranguetes / Chocolates do Teatro</t>
        </is>
      </c>
      <c r="E8" s="4" t="inlineStr">
        <is>
          <t>Cauê Moura &amp; Load</t>
        </is>
      </c>
      <c r="F8" s="4" t="inlineStr">
        <is>
          <t>Camarim das sessões do teatro</t>
        </is>
      </c>
      <c r="G8" s="4" t="inlineStr">
        <is>
          <t>Cauê conta que devorou 19 moranguetes no camarim enquanto Buba fiscalizava doces.</t>
        </is>
      </c>
    </row>
    <row r="9" ht="24" customHeight="1">
      <c r="A9" s="5" t="inlineStr">
        <is>
          <t>DLSHOW 616</t>
        </is>
      </c>
      <c r="B9" s="5" t="inlineStr">
        <is>
          <t>00:45:00</t>
        </is>
      </c>
      <c r="C9" s="6">
        <f>HYPERLINK("https://www.youtube.com/watch?v=GcrrPgDv1Dc&amp;t=2700s", "▶ Assistir no YouTube (00:45:00)")</f>
        <v/>
      </c>
      <c r="D9" s="7" t="inlineStr">
        <is>
          <t>Merenda de Escola / Danoninho na Caneca</t>
        </is>
      </c>
      <c r="E9" s="7" t="inlineStr">
        <is>
          <t>Cauê Moura &amp; Load</t>
        </is>
      </c>
      <c r="F9" s="7" t="inlineStr">
        <is>
          <t>Nostalgia de merendeiras anos 2000</t>
        </is>
      </c>
      <c r="G9" s="7" t="inlineStr">
        <is>
          <t>Cauê relembrou merenda de escola pública, macarrão de panela de pressão com salsicha e Danoninho na caneca.</t>
        </is>
      </c>
    </row>
    <row r="10" ht="24" customHeight="1">
      <c r="A10" s="2" t="inlineStr">
        <is>
          <t>DLSHOW 611</t>
        </is>
      </c>
      <c r="B10" s="2" t="inlineStr">
        <is>
          <t>00:33:20</t>
        </is>
      </c>
      <c r="C10" s="3">
        <f>HYPERLINK("https://www.youtube.com/watch?v=5MvEmsrFKsY&amp;t=2000s", "▶ Assistir no YouTube (00:33:20)")</f>
        <v/>
      </c>
      <c r="D10" s="4" t="inlineStr">
        <is>
          <t>Pão Doce com Margarina</t>
        </is>
      </c>
      <c r="E10" s="4" t="inlineStr">
        <is>
          <t>Load Comics &amp; Cauê</t>
        </is>
      </c>
      <c r="F10" s="4" t="inlineStr">
        <is>
          <t>Apresentação da receita polêmica do Load</t>
        </is>
      </c>
      <c r="G10" s="4" t="inlineStr">
        <is>
          <t>Load revelou que passa margarina no pão doce tradicional de creme. Cauê ficou profundamente horrorizado.</t>
        </is>
      </c>
    </row>
    <row r="11" ht="24" customHeight="1">
      <c r="A11" s="5" t="inlineStr">
        <is>
          <t>DLSHOW 609</t>
        </is>
      </c>
      <c r="B11" s="5" t="inlineStr">
        <is>
          <t>00:02:00</t>
        </is>
      </c>
      <c r="C11" s="6">
        <f>HYPERLINK("https://www.youtube.com/watch?v=DhTo34z3noI&amp;t=120s", "▶ Assistir no YouTube (00:02:00)")</f>
        <v/>
      </c>
      <c r="D11" s="7" t="inlineStr">
        <is>
          <t>Pote Inteiro de Azeitona / Parmesão</t>
        </is>
      </c>
      <c r="E11" s="7" t="inlineStr">
        <is>
          <t>Cauê Moura (Larica)</t>
        </is>
      </c>
      <c r="F11" s="7" t="inlineStr">
        <is>
          <t>Hábitos noturnos de belisco</t>
        </is>
      </c>
      <c r="G11" s="7" t="inlineStr">
        <is>
          <t>Cauê confessou que quando está na larica come um pote inteiro de azeitonas ou quatro tubos de parmesão.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26" customWidth="1" min="4" max="4"/>
    <col width="50" customWidth="1" min="5" max="5"/>
    <col width="40" customWidth="1" min="6" max="6"/>
    <col width="126" customWidth="1" min="7" max="7"/>
  </cols>
  <sheetData>
    <row r="1" ht="26" customHeight="1">
      <c r="A1" s="1" t="inlineStr">
        <is>
          <t>Episódio</t>
        </is>
      </c>
      <c r="B1" s="1" t="inlineStr">
        <is>
          <t>Minutagem</t>
        </is>
      </c>
      <c r="C1" s="1" t="inlineStr">
        <is>
          <t>Link do Vídeo (YouTube)</t>
        </is>
      </c>
      <c r="D1" s="1" t="inlineStr">
        <is>
          <t>Doador / Origem</t>
        </is>
      </c>
      <c r="E1" s="1" t="inlineStr">
        <is>
          <t>Item Recebido</t>
        </is>
      </c>
      <c r="F1" s="1" t="inlineStr">
        <is>
          <t>Destinatário</t>
        </is>
      </c>
      <c r="G1" s="1" t="inlineStr">
        <is>
          <t>Reação / Uso no Programa</t>
        </is>
      </c>
    </row>
    <row r="2" ht="24" customHeight="1">
      <c r="A2" s="2" t="inlineStr">
        <is>
          <t>DLSHOW 648</t>
        </is>
      </c>
      <c r="B2" s="2" t="inlineStr">
        <is>
          <t>00:02:00</t>
        </is>
      </c>
      <c r="C2" s="3">
        <f>HYPERLINK("https://www.youtube.com/watch?v=Vme7qk9NECM&amp;t=120s", "▶ Assistir no YouTube (00:02:00)")</f>
        <v/>
      </c>
      <c r="D2" s="4" t="inlineStr">
        <is>
          <t>Ouvinte Camarada</t>
        </is>
      </c>
      <c r="E2" s="4" t="inlineStr">
        <is>
          <t>Perfume / Aromatizador de Ambiente</t>
        </is>
      </c>
      <c r="F2" s="4" t="inlineStr">
        <is>
          <t>Bancada</t>
        </is>
      </c>
      <c r="G2" s="4" t="inlineStr">
        <is>
          <t>Cauê borrifa o perfume no estúdio durante o início do programa.</t>
        </is>
      </c>
    </row>
    <row r="3" ht="24" customHeight="1">
      <c r="A3" s="5" t="inlineStr">
        <is>
          <t>DLSHOW 648</t>
        </is>
      </c>
      <c r="B3" s="5" t="inlineStr">
        <is>
          <t>00:05:00</t>
        </is>
      </c>
      <c r="C3" s="6">
        <f>HYPERLINK("https://www.youtube.com/watch?v=Vme7qk9NECM&amp;t=300s", "▶ Assistir no YouTube (00:05:00)")</f>
        <v/>
      </c>
      <c r="D3" s="7" t="inlineStr">
        <is>
          <t>Jonathan (@printei_3D)</t>
        </is>
      </c>
      <c r="E3" s="7" t="inlineStr">
        <is>
          <t>Funko 3D do Load ('Moad')</t>
        </is>
      </c>
      <c r="F3" s="7" t="inlineStr">
        <is>
          <t>Load Comics</t>
        </is>
      </c>
      <c r="G3" s="7" t="inlineStr">
        <is>
          <t>Estátua 3D customizada do Load com um moedor de cana saindo da traseira.</t>
        </is>
      </c>
    </row>
    <row r="4" ht="24" customHeight="1">
      <c r="A4" s="2" t="inlineStr">
        <is>
          <t>DLSHOW 648</t>
        </is>
      </c>
      <c r="B4" s="2" t="inlineStr">
        <is>
          <t>00:08:00</t>
        </is>
      </c>
      <c r="C4" s="3">
        <f>HYPERLINK("https://www.youtube.com/watch?v=Vme7qk9NECM&amp;t=480s", "▶ Assistir no YouTube (00:08:00)")</f>
        <v/>
      </c>
      <c r="D4" s="4" t="inlineStr">
        <is>
          <t>Camarada / Membro</t>
        </is>
      </c>
      <c r="E4" s="4" t="inlineStr">
        <is>
          <t>Kit de Chás Variados (Mate, Gengibre, Pêssego)</t>
        </is>
      </c>
      <c r="F4" s="4" t="inlineStr">
        <is>
          <t>Bancada</t>
        </is>
      </c>
      <c r="G4" s="4" t="inlineStr">
        <is>
          <t>Cauê preparou o chá quente ao vivo e tomou no microondas.</t>
        </is>
      </c>
    </row>
    <row r="5" ht="24" customHeight="1">
      <c r="A5" s="5" t="inlineStr">
        <is>
          <t>DLSHOW 648</t>
        </is>
      </c>
      <c r="B5" s="5" t="inlineStr">
        <is>
          <t>00:10:00</t>
        </is>
      </c>
      <c r="C5" s="6">
        <f>HYPERLINK("https://www.youtube.com/watch?v=Vme7qk9NECM&amp;t=600s", "▶ Assistir no YouTube (00:10:00)")</f>
        <v/>
      </c>
      <c r="D5" s="7" t="inlineStr">
        <is>
          <t>Bulbasauro (Maker)</t>
        </is>
      </c>
      <c r="E5" s="7" t="inlineStr">
        <is>
          <t>Fantasminhas Vermelhos 3D do Comunismo</t>
        </is>
      </c>
      <c r="F5" s="7" t="inlineStr">
        <is>
          <t>Membros do Canal</t>
        </is>
      </c>
      <c r="G5" s="7" t="inlineStr">
        <is>
          <t>Buba imprimiu em 3D mimos vermelhos com martelo/foice para sortear pros membros.</t>
        </is>
      </c>
    </row>
    <row r="6" ht="24" customHeight="1">
      <c r="A6" s="2" t="inlineStr">
        <is>
          <t>DLSHOW 630</t>
        </is>
      </c>
      <c r="B6" s="2" t="inlineStr">
        <is>
          <t>00:02:00</t>
        </is>
      </c>
      <c r="C6" s="3">
        <f>HYPERLINK("https://www.youtube.com/watch?v=sIOnDXwttW4&amp;t=120s", "▶ Assistir no YouTube (00:02:00)")</f>
        <v/>
      </c>
      <c r="D6" s="4" t="inlineStr">
        <is>
          <t>Ouvinte Vaca</t>
        </is>
      </c>
      <c r="E6" s="4" t="inlineStr">
        <is>
          <t>Porta-Temperos 3D de Casinha</t>
        </is>
      </c>
      <c r="F6" s="4" t="inlineStr">
        <is>
          <t>Bulbasauro</t>
        </is>
      </c>
      <c r="G6" s="4" t="inlineStr">
        <is>
          <t>Buba recebeu e guardou com extremo cuidado um conjunto de casinhas de porcelana para temperos.</t>
        </is>
      </c>
    </row>
    <row r="7" ht="24" customHeight="1">
      <c r="A7" s="5" t="inlineStr">
        <is>
          <t>DLSHOW 625</t>
        </is>
      </c>
      <c r="B7" s="5" t="inlineStr">
        <is>
          <t>00:02:00</t>
        </is>
      </c>
      <c r="C7" s="6">
        <f>HYPERLINK("https://www.youtube.com/watch?v=mekYK_2RnA8&amp;t=120s", "▶ Assistir no YouTube (00:02:00)")</f>
        <v/>
      </c>
      <c r="D7" s="7" t="inlineStr">
        <is>
          <t>Raquel Pinto &amp; Ouvinte</t>
        </is>
      </c>
      <c r="E7" s="7" t="inlineStr">
        <is>
          <t>Meias Customizadas &amp; Cocada de Abacaxi</t>
        </is>
      </c>
      <c r="F7" s="7" t="inlineStr">
        <is>
          <t>Cauê &amp; Load</t>
        </is>
      </c>
      <c r="G7" s="7" t="inlineStr">
        <is>
          <t>Ganharam kit de meias divertidas e cocadas artesanais de abacaxi.</t>
        </is>
      </c>
    </row>
    <row r="8" ht="24" customHeight="1">
      <c r="A8" s="2" t="inlineStr">
        <is>
          <t>DLSHOW 624</t>
        </is>
      </c>
      <c r="B8" s="2" t="inlineStr">
        <is>
          <t>00:02:00</t>
        </is>
      </c>
      <c r="C8" s="3">
        <f>HYPERLINK("https://www.youtube.com/watch?v=CY7Ns0gEWNA&amp;t=120s", "▶ Assistir no YouTube (00:02:00)")</f>
        <v/>
      </c>
      <c r="D8" s="4" t="inlineStr">
        <is>
          <t>Três Árvores Cerâmica</t>
        </is>
      </c>
      <c r="E8" s="4" t="inlineStr">
        <is>
          <t>Estátua de Cerâmica 'Mão de Rock'</t>
        </is>
      </c>
      <c r="F8" s="4" t="inlineStr">
        <is>
          <t>Cauê Moura</t>
        </is>
      </c>
      <c r="G8" s="4" t="inlineStr">
        <is>
          <t>Cauê recebeu uma peça de cerâmica artesanal em formato de mão de rock e testou no dente.</t>
        </is>
      </c>
    </row>
    <row r="9" ht="24" customHeight="1">
      <c r="A9" s="5" t="inlineStr">
        <is>
          <t>DLSHOW 603</t>
        </is>
      </c>
      <c r="B9" s="5" t="inlineStr">
        <is>
          <t>00:01:00</t>
        </is>
      </c>
      <c r="C9" s="6">
        <f>HYPERLINK("https://www.youtube.com/watch?v=0iimGpySeJk&amp;t=60s", "▶ Assistir no YouTube (00:01:00)")</f>
        <v/>
      </c>
      <c r="D9" s="7" t="inlineStr">
        <is>
          <t>Azagal (Jovem Nerd)</t>
        </is>
      </c>
      <c r="E9" s="7" t="inlineStr">
        <is>
          <t>Quadro 'Ky Crusher' (Moad Transformer)</t>
        </is>
      </c>
      <c r="F9" s="7" t="inlineStr">
        <is>
          <t>Load Comics</t>
        </is>
      </c>
      <c r="G9" s="7" t="inlineStr">
        <is>
          <t>Quadro emoldurado em alta qualidade desenhado por Marcelo Mattiere apresentando o Load como um Transformer moedor de cana.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28" customWidth="1" min="4" max="4"/>
    <col width="40" customWidth="1" min="5" max="5"/>
    <col width="52" customWidth="1" min="6" max="6"/>
    <col width="118" customWidth="1" min="7" max="7"/>
  </cols>
  <sheetData>
    <row r="1" ht="26" customHeight="1">
      <c r="A1" s="1" t="inlineStr">
        <is>
          <t>Episódio</t>
        </is>
      </c>
      <c r="B1" s="1" t="inlineStr">
        <is>
          <t>Minutagem</t>
        </is>
      </c>
      <c r="C1" s="1" t="inlineStr">
        <is>
          <t>Link do Vídeo (YouTube)</t>
        </is>
      </c>
      <c r="D1" s="1" t="inlineStr">
        <is>
          <t>Pessoa / Ícone</t>
        </is>
      </c>
      <c r="E1" s="1" t="inlineStr">
        <is>
          <t>Quem Mencionou</t>
        </is>
      </c>
      <c r="F1" s="1" t="inlineStr">
        <is>
          <t>Contexto / Aspas</t>
        </is>
      </c>
      <c r="G1" s="1" t="inlineStr">
        <is>
          <t>Visão do Canal / Reação</t>
        </is>
      </c>
    </row>
    <row r="2" ht="24" customHeight="1">
      <c r="A2" s="2" t="inlineStr">
        <is>
          <t>DLSHOW 648</t>
        </is>
      </c>
      <c r="B2" s="2" t="inlineStr">
        <is>
          <t>01:40:00</t>
        </is>
      </c>
      <c r="C2" s="3">
        <f>HYPERLINK("https://www.youtube.com/watch?v=Vme7qk9NECM&amp;t=6000s", "▶ Assistir no YouTube (01:40:00)")</f>
        <v/>
      </c>
      <c r="D2" s="4" t="inlineStr">
        <is>
          <t>Craque Neto</t>
        </is>
      </c>
      <c r="E2" s="4" t="inlineStr">
        <is>
          <t>Cauê Moura &amp; Otávio Reis</t>
        </is>
      </c>
      <c r="F2" s="4" t="inlineStr">
        <is>
          <t>Superchat chamando Cauê de 'Meu Craque Neto'</t>
        </is>
      </c>
      <c r="G2" s="4" t="inlineStr">
        <is>
          <t>Cauê faz defesa apaixonada do título de 90 e gol olímpico no Flamengo: 'Se Neto não é corintiano, não sei quem é!'</t>
        </is>
      </c>
    </row>
    <row r="3" ht="24" customHeight="1">
      <c r="A3" s="5" t="inlineStr">
        <is>
          <t>DLSHOW 648</t>
        </is>
      </c>
      <c r="B3" s="5" t="inlineStr">
        <is>
          <t>00:15:00</t>
        </is>
      </c>
      <c r="C3" s="6">
        <f>HYPERLINK("https://www.youtube.com/watch?v=Vme7qk9NECM&amp;t=900s", "▶ Assistir no YouTube (00:15:00)")</f>
        <v/>
      </c>
      <c r="D3" s="7" t="inlineStr">
        <is>
          <t>David Jones &amp; Zema</t>
        </is>
      </c>
      <c r="E3" s="7" t="inlineStr">
        <is>
          <t>Cauê Moura &amp; Load</t>
        </is>
      </c>
      <c r="F3" s="7" t="inlineStr">
        <is>
          <t>Zema usando voz de IA do David Jones em campanha</t>
        </is>
      </c>
      <c r="G3" s="7" t="inlineStr">
        <is>
          <t>React indignado e cômico ao vídeo onde Zema usou a voz de IA do streamer David Jones sem permissão.</t>
        </is>
      </c>
    </row>
    <row r="4" ht="24" customHeight="1">
      <c r="A4" s="2" t="inlineStr">
        <is>
          <t>DLSHOW 648</t>
        </is>
      </c>
      <c r="B4" s="2" t="inlineStr">
        <is>
          <t>00:20:00</t>
        </is>
      </c>
      <c r="C4" s="3">
        <f>HYPERLINK("https://www.youtube.com/watch?v=Vme7qk9NECM&amp;t=1200s", "▶ Assistir no YouTube (00:20:00)")</f>
        <v/>
      </c>
      <c r="D4" s="4" t="inlineStr">
        <is>
          <t>Luciano Huck</t>
        </is>
      </c>
      <c r="E4" s="4" t="inlineStr">
        <is>
          <t>Cauê Moura</t>
        </is>
      </c>
      <c r="F4" s="4" t="inlineStr">
        <is>
          <t>Plataforma de recomendação eleitoral do Huck</t>
        </is>
      </c>
      <c r="G4" s="4" t="inlineStr">
        <is>
          <t>Cauê critica e ridiculariza o 'sapatênis humano' e a indicação de candidatos de direita na ferramenta.</t>
        </is>
      </c>
    </row>
    <row r="5" ht="24" customHeight="1">
      <c r="A5" s="5" t="inlineStr">
        <is>
          <t>DLSHOW 608</t>
        </is>
      </c>
      <c r="B5" s="5" t="inlineStr">
        <is>
          <t>00:40:00</t>
        </is>
      </c>
      <c r="C5" s="6">
        <f>HYPERLINK("https://www.youtube.com/watch?v=rOtFhFxfhTE&amp;t=2400s", "▶ Assistir no YouTube (00:40:00)")</f>
        <v/>
      </c>
      <c r="D5" s="7" t="inlineStr">
        <is>
          <t>Craque Neto</t>
        </is>
      </c>
      <c r="E5" s="7" t="inlineStr">
        <is>
          <t>Load Comics &amp; Cauê</t>
        </is>
      </c>
      <c r="F5" s="7" t="inlineStr">
        <is>
          <t>Frases icônicas do Craque Neto</t>
        </is>
      </c>
      <c r="G5" s="7" t="inlineStr">
        <is>
          <t>Load cita a clássica frase do Neto: 'Traumatizado fui eu quando vi meu pai comendo minha mãe com 5 anos!'</t>
        </is>
      </c>
    </row>
    <row r="6" ht="24" customHeight="1">
      <c r="A6" s="2" t="inlineStr">
        <is>
          <t>DLSHOW 607</t>
        </is>
      </c>
      <c r="B6" s="2" t="inlineStr">
        <is>
          <t>00:10:00</t>
        </is>
      </c>
      <c r="C6" s="3">
        <f>HYPERLINK("https://www.youtube.com/watch?v=GcrrPgDv1Dc&amp;t=600s", "▶ Assistir no YouTube (00:10:00)")</f>
        <v/>
      </c>
      <c r="D6" s="4" t="inlineStr">
        <is>
          <t>Neymar Jr</t>
        </is>
      </c>
      <c r="E6" s="4" t="inlineStr">
        <is>
          <t>Cauê Moura &amp; Load</t>
        </is>
      </c>
      <c r="F6" s="4" t="inlineStr">
        <is>
          <t>Eliminação da Seleção / NeyFracasso</t>
        </is>
      </c>
      <c r="G6" s="4" t="inlineStr">
        <is>
          <t>Análise ácida sobre a performance de Neymar na Seleção Brasileira e festas.</t>
        </is>
      </c>
    </row>
    <row r="7" ht="24" customHeight="1">
      <c r="A7" s="5" t="inlineStr">
        <is>
          <t>DLSHOW 602</t>
        </is>
      </c>
      <c r="B7" s="5" t="inlineStr">
        <is>
          <t>00:30:00</t>
        </is>
      </c>
      <c r="C7" s="6">
        <f>HYPERLINK("https://www.youtube.com/watch?v=q02_uyu2QKk&amp;t=1800s", "▶ Assistir no YouTube (00:30:00)")</f>
        <v/>
      </c>
      <c r="D7" s="7" t="inlineStr">
        <is>
          <t>Monark, Igor 3K &amp; Sacani</t>
        </is>
      </c>
      <c r="E7" s="7" t="inlineStr">
        <is>
          <t>Cauê Moura &amp; Load</t>
        </is>
      </c>
      <c r="F7" s="7" t="inlineStr">
        <is>
          <t>Dramas e bastidores do Flow Podcast</t>
        </is>
      </c>
      <c r="G7" s="7" t="inlineStr">
        <is>
          <t>Análise dos desdobramentos das polêmicas de Monark e afastamento do Flow.</t>
        </is>
      </c>
    </row>
    <row r="8" ht="24" customHeight="1">
      <c r="A8" s="2" t="inlineStr">
        <is>
          <t>DLSHOW 600</t>
        </is>
      </c>
      <c r="B8" s="2" t="inlineStr">
        <is>
          <t>01:19:13</t>
        </is>
      </c>
      <c r="C8" s="3">
        <f>HYPERLINK("https://www.youtube.com/watch?v=27f7VEe7QVQ&amp;t=4753s", "▶ Assistir no YouTube (01:19:13)")</f>
        <v/>
      </c>
      <c r="D8" s="4" t="inlineStr">
        <is>
          <t>Edir Macedo</t>
        </is>
      </c>
      <c r="E8" s="4" t="inlineStr">
        <is>
          <t>Cauê Moura &amp; Load</t>
        </is>
      </c>
      <c r="F8" s="4" t="inlineStr">
        <is>
          <t>Investigação do Banco do Edir Macedo</t>
        </is>
      </c>
      <c r="G8" s="4" t="inlineStr">
        <is>
          <t>Comentário afiado da bancada: 'Jesus é o caminho, Edir Macedo é o pedágio'.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2026-09-29T23:28:29Z</dcterms:created>
  <dcterms:modified xmlns:dcterms="http://purl.org/dc/terms/" xmlns:xsi="http://www.w3.org/2001/XMLSchema-instance" xsi:type="dcterms:W3CDTF">2026-09-29T23:28:29Z</dcterms:modified>
</cp:coreProperties>
</file>